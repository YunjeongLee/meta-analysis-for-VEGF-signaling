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jeong/Documents/repos/meta-analysis-for-VEGF-signaling/data/"/>
    </mc:Choice>
  </mc:AlternateContent>
  <xr:revisionPtr revIDLastSave="0" documentId="13_ncr:1_{3B2C3A54-C8EE-1A4A-A46B-06BA0C39BEFA}" xr6:coauthVersionLast="47" xr6:coauthVersionMax="47" xr10:uidLastSave="{00000000-0000-0000-0000-000000000000}"/>
  <bookViews>
    <workbookView xWindow="22400" yWindow="500" windowWidth="22400" windowHeight="22900" xr2:uid="{A8742877-6D88-CF4E-82A9-6C281EC17BAE}"/>
  </bookViews>
  <sheets>
    <sheet name="VEGFA165_VEGFR1" sheetId="3" r:id="rId1"/>
    <sheet name="VEGFA165_VEGFR2" sheetId="4" r:id="rId2"/>
    <sheet name="VEGFA165_NRP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D8" i="5"/>
  <c r="D3" i="4"/>
  <c r="C3" i="4"/>
  <c r="D2" i="4"/>
  <c r="C2" i="4"/>
  <c r="D10" i="4"/>
  <c r="C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Yunjeong Lee</author>
  </authors>
  <commentList>
    <comment ref="D4" authorId="0" shapeId="0" xr:uid="{F5752615-28CF-6E4E-A51C-5229D569314F}">
      <text>
        <r>
          <rPr>
            <b/>
            <sz val="10"/>
            <color rgb="FF000000"/>
            <rFont val="Tahoma"/>
            <family val="2"/>
          </rPr>
          <t>Yunjeong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Yunjeong Lee</author>
  </authors>
  <commentList>
    <comment ref="D7" authorId="0" shapeId="0" xr:uid="{A124DBD5-EB01-BE49-9F02-CF0382B8ADE1}">
      <text>
        <r>
          <rPr>
            <b/>
            <sz val="10"/>
            <color rgb="FF000000"/>
            <rFont val="Tahoma"/>
            <family val="2"/>
          </rPr>
          <t>Yunjeong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SE?</t>
        </r>
      </text>
    </comment>
    <comment ref="D8" authorId="0" shapeId="0" xr:uid="{104F6701-04B9-E649-AC30-2F7E66E4AB3A}">
      <text>
        <r>
          <rPr>
            <b/>
            <sz val="10"/>
            <color rgb="FF000000"/>
            <rFont val="Tahoma"/>
            <family val="2"/>
          </rPr>
          <t>Yunjeong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SE?</t>
        </r>
      </text>
    </comment>
  </commentList>
</comments>
</file>

<file path=xl/sharedStrings.xml><?xml version="1.0" encoding="utf-8"?>
<sst xmlns="http://schemas.openxmlformats.org/spreadsheetml/2006/main" count="96" uniqueCount="33">
  <si>
    <t>Reference</t>
  </si>
  <si>
    <t>Waltenberger1994</t>
  </si>
  <si>
    <t>-</t>
  </si>
  <si>
    <t>Mamer2020</t>
  </si>
  <si>
    <t>Kd average</t>
  </si>
  <si>
    <t>Kd SE</t>
  </si>
  <si>
    <t>Huang1998</t>
  </si>
  <si>
    <t>Method</t>
  </si>
  <si>
    <t>Radioligand</t>
  </si>
  <si>
    <t>SPR</t>
  </si>
  <si>
    <t>Whitaker2001</t>
  </si>
  <si>
    <t>Cunningham1999</t>
  </si>
  <si>
    <t>Shobhan2023</t>
  </si>
  <si>
    <t>Whitaker et al., 2001</t>
  </si>
  <si>
    <t>Mamer et al., 2020</t>
  </si>
  <si>
    <t>Huang et al., 1998 (VEGF-A165)</t>
  </si>
  <si>
    <t>Huang et al., 1998 (VEGF-A164)</t>
  </si>
  <si>
    <t>Cunningham et al., 1999 (pre-dimerized)</t>
  </si>
  <si>
    <t>Cunningham et al., 1999 (monomer)</t>
  </si>
  <si>
    <t>Soker et al., 1998</t>
  </si>
  <si>
    <t>Teran et al., 2019 (chimera)</t>
  </si>
  <si>
    <t>Teran et al., 2019 (monomer)</t>
  </si>
  <si>
    <t>Papadopoulos et al., 2012</t>
  </si>
  <si>
    <t>Jin et al., 2007</t>
  </si>
  <si>
    <t>von Tiedemann et al., 2002</t>
  </si>
  <si>
    <t>Unpublished data</t>
  </si>
  <si>
    <t>Breier et al., 1995</t>
  </si>
  <si>
    <t>Ito &amp; Claesson-Welsh, 1999</t>
  </si>
  <si>
    <t>Gu et al., 2002</t>
  </si>
  <si>
    <t>Waltenberger et al., 1994</t>
  </si>
  <si>
    <t>Soker et al., 1996</t>
  </si>
  <si>
    <t>Shobhan, 2023</t>
  </si>
  <si>
    <t>Terman et al., 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</si>
</sst>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0" fillId="0" borderId="14" xfId="0" applyBorder="1"/>
    <xf numFmtId="0" fontId="0" fillId="0" borderId="15" xfId="0" applyBorder="1"/>
    <xf numFmtId="0" fontId="0" fillId="0" borderId="13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B970-3B91-2544-A9A4-014D1F0CD0C8}">
  <dimension ref="A1:D8"/>
  <sheetViews>
    <sheetView tabSelected="1" zoomScale="120" zoomScaleNormal="120" workbookViewId="0">
      <selection activeCell="A7" sqref="A7:D7"/>
    </sheetView>
  </sheetViews>
  <sheetFormatPr baseColWidth="10" defaultRowHeight="16" x14ac:dyDescent="0.2"/>
  <cols>
    <col min="1" max="1" width="16.6640625" bestFit="1" customWidth="1"/>
    <col min="2" max="2" width="16.6640625" customWidth="1"/>
  </cols>
  <sheetData>
    <row r="1" spans="1:4" ht="17" thickBot="1" x14ac:dyDescent="0.25">
      <c r="A1" s="10" t="s">
        <v>0</v>
      </c>
      <c r="B1" s="18" t="s">
        <v>7</v>
      </c>
      <c r="C1" s="4" t="s">
        <v>4</v>
      </c>
      <c r="D1" s="5" t="s">
        <v>5</v>
      </c>
    </row>
    <row r="2" spans="1:4" ht="17" thickTop="1" x14ac:dyDescent="0.2">
      <c r="A2" s="13" t="s">
        <v>29</v>
      </c>
      <c r="B2" s="16" t="s">
        <v>8</v>
      </c>
      <c r="C2" s="2">
        <v>16</v>
      </c>
      <c r="D2" s="6"/>
    </row>
    <row r="3" spans="1:4" x14ac:dyDescent="0.2">
      <c r="A3" s="11" t="s">
        <v>14</v>
      </c>
      <c r="B3" s="17" t="s">
        <v>9</v>
      </c>
      <c r="C3" s="1">
        <v>1</v>
      </c>
      <c r="D3" s="7">
        <v>0.3</v>
      </c>
    </row>
    <row r="4" spans="1:4" x14ac:dyDescent="0.2">
      <c r="A4" s="11" t="s">
        <v>24</v>
      </c>
      <c r="B4" s="17" t="s">
        <v>9</v>
      </c>
      <c r="C4" s="1">
        <v>7.5</v>
      </c>
      <c r="D4" s="7">
        <v>3</v>
      </c>
    </row>
    <row r="5" spans="1:4" x14ac:dyDescent="0.2">
      <c r="A5" s="13" t="s">
        <v>22</v>
      </c>
      <c r="B5" s="2" t="s">
        <v>9</v>
      </c>
      <c r="C5" s="2">
        <v>9.33</v>
      </c>
      <c r="D5" s="6">
        <v>0.71</v>
      </c>
    </row>
    <row r="6" spans="1:4" x14ac:dyDescent="0.2">
      <c r="A6" s="19" t="s">
        <v>23</v>
      </c>
      <c r="B6" s="20" t="s">
        <v>8</v>
      </c>
      <c r="C6" s="20">
        <v>7</v>
      </c>
      <c r="D6" s="21">
        <v>1</v>
      </c>
    </row>
    <row r="7" spans="1:4" x14ac:dyDescent="0.2">
      <c r="A7" s="19" t="s">
        <v>26</v>
      </c>
      <c r="B7" s="20" t="s">
        <v>8</v>
      </c>
      <c r="C7" s="20">
        <v>114</v>
      </c>
      <c r="D7" s="21"/>
    </row>
    <row r="8" spans="1:4" ht="17" thickBot="1" x14ac:dyDescent="0.25">
      <c r="A8" s="12" t="s">
        <v>27</v>
      </c>
      <c r="B8" s="8" t="s">
        <v>8</v>
      </c>
      <c r="C8" s="8">
        <v>54</v>
      </c>
      <c r="D8" s="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C7D1-10B3-434D-851C-DD9B7FABFD43}">
  <dimension ref="A1:J14"/>
  <sheetViews>
    <sheetView zoomScale="120" zoomScaleNormal="120" workbookViewId="0">
      <selection activeCell="C5" sqref="C5"/>
    </sheetView>
  </sheetViews>
  <sheetFormatPr baseColWidth="10" defaultRowHeight="16" x14ac:dyDescent="0.2"/>
  <cols>
    <col min="1" max="1" width="27.6640625" bestFit="1" customWidth="1"/>
    <col min="2" max="2" width="12.5" customWidth="1"/>
  </cols>
  <sheetData>
    <row r="1" spans="1:10" ht="17" thickBot="1" x14ac:dyDescent="0.25">
      <c r="A1" s="3" t="s">
        <v>0</v>
      </c>
      <c r="B1" s="14" t="s">
        <v>7</v>
      </c>
      <c r="C1" s="14" t="s">
        <v>4</v>
      </c>
      <c r="D1" s="15" t="s">
        <v>5</v>
      </c>
      <c r="G1" t="s">
        <v>0</v>
      </c>
      <c r="H1" t="s">
        <v>7</v>
      </c>
      <c r="I1" t="s">
        <v>4</v>
      </c>
      <c r="J1" t="s">
        <v>5</v>
      </c>
    </row>
    <row r="2" spans="1:10" ht="17" thickTop="1" x14ac:dyDescent="0.2">
      <c r="A2" s="13" t="s">
        <v>15</v>
      </c>
      <c r="B2" s="2" t="s">
        <v>9</v>
      </c>
      <c r="C2" s="2">
        <f>AVERAGE(I2:I3)</f>
        <v>225</v>
      </c>
      <c r="D2" s="6">
        <f>STDEVA(I2:I3)/SQRT(2)</f>
        <v>115</v>
      </c>
      <c r="G2" t="s">
        <v>6</v>
      </c>
      <c r="H2" t="s">
        <v>9</v>
      </c>
      <c r="I2">
        <v>340</v>
      </c>
      <c r="J2" t="s">
        <v>2</v>
      </c>
    </row>
    <row r="3" spans="1:10" x14ac:dyDescent="0.2">
      <c r="A3" s="13" t="s">
        <v>16</v>
      </c>
      <c r="B3" s="2" t="s">
        <v>9</v>
      </c>
      <c r="C3" s="2">
        <f>AVERAGE(I4:I5)</f>
        <v>235</v>
      </c>
      <c r="D3" s="6">
        <f>STDEVA(I4:I5)/SQRT(2)</f>
        <v>95</v>
      </c>
      <c r="G3" t="s">
        <v>6</v>
      </c>
      <c r="H3" t="s">
        <v>9</v>
      </c>
      <c r="I3">
        <v>110</v>
      </c>
      <c r="J3" t="s">
        <v>2</v>
      </c>
    </row>
    <row r="4" spans="1:10" x14ac:dyDescent="0.2">
      <c r="A4" s="13" t="s">
        <v>32</v>
      </c>
      <c r="B4" s="2" t="s">
        <v>8</v>
      </c>
      <c r="C4" s="2">
        <v>75</v>
      </c>
      <c r="D4" s="6"/>
      <c r="G4" t="s">
        <v>6</v>
      </c>
      <c r="H4" t="s">
        <v>9</v>
      </c>
      <c r="I4">
        <v>330</v>
      </c>
      <c r="J4" t="s">
        <v>2</v>
      </c>
    </row>
    <row r="5" spans="1:10" x14ac:dyDescent="0.2">
      <c r="A5" s="11" t="s">
        <v>13</v>
      </c>
      <c r="B5" s="1" t="s">
        <v>8</v>
      </c>
      <c r="C5" s="1">
        <v>339</v>
      </c>
      <c r="D5" s="7">
        <v>120</v>
      </c>
      <c r="G5" t="s">
        <v>6</v>
      </c>
      <c r="H5" t="s">
        <v>9</v>
      </c>
      <c r="I5">
        <v>140</v>
      </c>
      <c r="J5" t="s">
        <v>2</v>
      </c>
    </row>
    <row r="6" spans="1:10" x14ac:dyDescent="0.2">
      <c r="A6" s="11" t="s">
        <v>29</v>
      </c>
      <c r="B6" s="1" t="s">
        <v>8</v>
      </c>
      <c r="C6" s="1">
        <v>760</v>
      </c>
      <c r="D6" s="7"/>
      <c r="G6" t="s">
        <v>10</v>
      </c>
      <c r="H6" t="s">
        <v>8</v>
      </c>
      <c r="I6">
        <v>339</v>
      </c>
      <c r="J6" t="s">
        <v>2</v>
      </c>
    </row>
    <row r="7" spans="1:10" x14ac:dyDescent="0.2">
      <c r="A7" s="11" t="s">
        <v>17</v>
      </c>
      <c r="B7" s="1" t="s">
        <v>9</v>
      </c>
      <c r="C7" s="1">
        <v>37.1</v>
      </c>
      <c r="D7" s="7">
        <v>4.9000000000000004</v>
      </c>
      <c r="G7" t="s">
        <v>1</v>
      </c>
      <c r="H7" t="s">
        <v>8</v>
      </c>
      <c r="I7">
        <v>760</v>
      </c>
      <c r="J7" t="s">
        <v>2</v>
      </c>
    </row>
    <row r="8" spans="1:10" x14ac:dyDescent="0.2">
      <c r="A8" s="11" t="s">
        <v>18</v>
      </c>
      <c r="B8" s="1" t="s">
        <v>9</v>
      </c>
      <c r="C8" s="1">
        <v>51.7</v>
      </c>
      <c r="D8" s="7">
        <v>5.8</v>
      </c>
      <c r="G8" t="s">
        <v>1</v>
      </c>
      <c r="H8" t="s">
        <v>8</v>
      </c>
      <c r="I8">
        <v>770</v>
      </c>
      <c r="J8" t="s">
        <v>2</v>
      </c>
    </row>
    <row r="9" spans="1:10" x14ac:dyDescent="0.2">
      <c r="A9" s="19" t="s">
        <v>14</v>
      </c>
      <c r="B9" s="20" t="s">
        <v>9</v>
      </c>
      <c r="C9" s="20">
        <v>9.8000000000000007</v>
      </c>
      <c r="D9" s="21">
        <v>0.4</v>
      </c>
      <c r="G9" t="s">
        <v>11</v>
      </c>
      <c r="H9" t="s">
        <v>9</v>
      </c>
      <c r="I9">
        <v>37.1</v>
      </c>
      <c r="J9">
        <v>4.9000000000000004</v>
      </c>
    </row>
    <row r="10" spans="1:10" ht="17" thickBot="1" x14ac:dyDescent="0.25">
      <c r="A10" s="12" t="s">
        <v>25</v>
      </c>
      <c r="B10" s="8" t="s">
        <v>9</v>
      </c>
      <c r="C10" s="8">
        <f>AVERAGE(I12:I14)</f>
        <v>580</v>
      </c>
      <c r="D10" s="9">
        <f>STDEVA(I12:I14)/SQRT(3)</f>
        <v>156.31165450257808</v>
      </c>
      <c r="G10" t="s">
        <v>11</v>
      </c>
      <c r="H10" t="s">
        <v>9</v>
      </c>
      <c r="I10">
        <v>51.7</v>
      </c>
      <c r="J10">
        <v>5.8</v>
      </c>
    </row>
    <row r="11" spans="1:10" x14ac:dyDescent="0.2">
      <c r="G11" t="s">
        <v>3</v>
      </c>
      <c r="H11" t="s">
        <v>9</v>
      </c>
      <c r="I11">
        <v>9.8000000000000007</v>
      </c>
      <c r="J11">
        <v>0.4</v>
      </c>
    </row>
    <row r="12" spans="1:10" x14ac:dyDescent="0.2">
      <c r="G12" t="s">
        <v>12</v>
      </c>
      <c r="H12" t="s">
        <v>9</v>
      </c>
      <c r="I12">
        <v>700</v>
      </c>
    </row>
    <row r="13" spans="1:10" x14ac:dyDescent="0.2">
      <c r="G13" t="s">
        <v>12</v>
      </c>
      <c r="H13" t="s">
        <v>9</v>
      </c>
      <c r="I13">
        <v>770</v>
      </c>
    </row>
    <row r="14" spans="1:10" x14ac:dyDescent="0.2">
      <c r="G14" t="s">
        <v>12</v>
      </c>
      <c r="H14" t="s">
        <v>9</v>
      </c>
      <c r="I14">
        <v>270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E235-A997-9D41-BA0F-FEA0B65FE7F6}">
  <dimension ref="A1:G8"/>
  <sheetViews>
    <sheetView zoomScale="120" zoomScaleNormal="120" workbookViewId="0">
      <selection activeCell="A13" sqref="A13"/>
    </sheetView>
  </sheetViews>
  <sheetFormatPr baseColWidth="10" defaultRowHeight="16" x14ac:dyDescent="0.2"/>
  <cols>
    <col min="1" max="1" width="29" customWidth="1"/>
  </cols>
  <sheetData>
    <row r="1" spans="1:7" ht="17" thickBot="1" x14ac:dyDescent="0.25">
      <c r="A1" s="3" t="s">
        <v>0</v>
      </c>
      <c r="B1" s="14" t="s">
        <v>7</v>
      </c>
      <c r="C1" s="14" t="s">
        <v>4</v>
      </c>
      <c r="D1" s="15" t="s">
        <v>5</v>
      </c>
    </row>
    <row r="2" spans="1:7" ht="17" thickTop="1" x14ac:dyDescent="0.2">
      <c r="A2" s="13" t="s">
        <v>13</v>
      </c>
      <c r="B2" s="2" t="s">
        <v>8</v>
      </c>
      <c r="C2" s="2">
        <v>2.09</v>
      </c>
      <c r="D2" s="6">
        <v>0.82</v>
      </c>
      <c r="F2" t="s">
        <v>31</v>
      </c>
      <c r="G2">
        <v>5.29</v>
      </c>
    </row>
    <row r="3" spans="1:7" x14ac:dyDescent="0.2">
      <c r="A3" s="11" t="s">
        <v>30</v>
      </c>
      <c r="B3" s="1" t="s">
        <v>8</v>
      </c>
      <c r="C3" s="1">
        <v>0.28000000000000003</v>
      </c>
      <c r="D3" s="7"/>
      <c r="G3">
        <v>7.43</v>
      </c>
    </row>
    <row r="4" spans="1:7" x14ac:dyDescent="0.2">
      <c r="A4" s="11" t="s">
        <v>19</v>
      </c>
      <c r="B4" s="1" t="s">
        <v>8</v>
      </c>
      <c r="C4" s="1">
        <v>0.32</v>
      </c>
      <c r="D4" s="7"/>
    </row>
    <row r="5" spans="1:7" x14ac:dyDescent="0.2">
      <c r="A5" s="11" t="s">
        <v>20</v>
      </c>
      <c r="B5" s="1" t="s">
        <v>9</v>
      </c>
      <c r="C5" s="1">
        <v>25</v>
      </c>
      <c r="D5" s="7">
        <v>2</v>
      </c>
    </row>
    <row r="6" spans="1:7" x14ac:dyDescent="0.2">
      <c r="A6" s="19" t="s">
        <v>21</v>
      </c>
      <c r="B6" s="20" t="s">
        <v>9</v>
      </c>
      <c r="C6" s="20">
        <v>25</v>
      </c>
      <c r="D6" s="21">
        <v>1</v>
      </c>
    </row>
    <row r="7" spans="1:7" x14ac:dyDescent="0.2">
      <c r="A7" s="19" t="s">
        <v>28</v>
      </c>
      <c r="B7" s="20" t="s">
        <v>8</v>
      </c>
      <c r="C7" s="20">
        <v>0.93</v>
      </c>
      <c r="D7" s="21">
        <v>0.71</v>
      </c>
    </row>
    <row r="8" spans="1:7" ht="17" thickBot="1" x14ac:dyDescent="0.25">
      <c r="A8" s="12" t="s">
        <v>25</v>
      </c>
      <c r="B8" s="8" t="s">
        <v>9</v>
      </c>
      <c r="C8" s="8">
        <f>AVERAGE(G2:G3)</f>
        <v>6.3599999999999994</v>
      </c>
      <c r="D8" s="9">
        <f>STDEVA(G2:G3)/SQRT(2)</f>
        <v>1.0700000000000032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VEGFA165_VEGFR1</vt:lpstr>
      <vt:lpstr>VEGFA165_VEGFR2</vt:lpstr>
      <vt:lpstr>VEGFA165_NRP1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Yunjeong Lee</dc:creator>
  <cp:lastModifiedBy>Yunjeong Lee</cp:lastModifiedBy>
  <dcterms:created xsi:type="dcterms:W3CDTF">2023-04-19T18:26:55Z</dcterms:created>
  <dcterms:modified xsi:type="dcterms:W3CDTF">2023-06-23T21:51:41Z</dcterms:modified>
</cp:coreProperties>
</file>